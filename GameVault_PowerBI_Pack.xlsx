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Summary" sheetId="2" state="visible" r:id="rId4"/>
    <sheet name="Ranked Scores" sheetId="3" state="visible" r:id="rId5"/>
    <sheet name="DAX Measures" sheetId="4" state="visible" r:id="rId6"/>
    <sheet name="Power Query M" sheetId="5" state="visible" r:id="rId7"/>
    <sheet name="Visual Spe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<sst xmlns="http://schemas.openxmlformats.org/spreadsheetml/2006/main" count="232" uniqueCount="150">
  <si>
    <t xml:space="preserve">Title</t>
  </si>
  <si>
    <t xml:space="preserve">Total Reviews</t>
  </si>
  <si>
    <t xml:space="preserve">Avg Hours Played</t>
  </si>
  <si>
    <t xml:space="preserve">Median Hours Played</t>
  </si>
  <si>
    <t xml:space="preserve">Recommendation Rate (%)</t>
  </si>
  <si>
    <t xml:space="preserve">ML Acquisition Score</t>
  </si>
  <si>
    <t xml:space="preserve">Community &amp; Social (%)</t>
  </si>
  <si>
    <t xml:space="preserve">Gameplay Feedback (%)</t>
  </si>
  <si>
    <t xml:space="preserve">Technical Stability Issues (%)</t>
  </si>
  <si>
    <t xml:space="preserve">ACE COMBAT™ 7: SKIES UNKNOWN</t>
  </si>
  <si>
    <t xml:space="preserve">ASTRONEER</t>
  </si>
  <si>
    <t xml:space="preserve">Beat Saber</t>
  </si>
  <si>
    <t xml:space="preserve">Dead by Daylight</t>
  </si>
  <si>
    <t xml:space="preserve">Euro Truck Simulator 2</t>
  </si>
  <si>
    <t xml:space="preserve">Factorio</t>
  </si>
  <si>
    <t xml:space="preserve">Farming Simulator 19</t>
  </si>
  <si>
    <t xml:space="preserve">Grand Theft Auto V</t>
  </si>
  <si>
    <t xml:space="preserve">Insurgency: Sandstorm</t>
  </si>
  <si>
    <t xml:space="preserve">Left 4 Dead 2</t>
  </si>
  <si>
    <t xml:space="preserve">MONSTER HUNTER: WORLD</t>
  </si>
  <si>
    <t xml:space="preserve">Overcooked! 2</t>
  </si>
  <si>
    <t xml:space="preserve">PLAYERUNKNOWN'S BATTLEGROUNDS</t>
  </si>
  <si>
    <t xml:space="preserve">RESIDENT EVIL 2</t>
  </si>
  <si>
    <t xml:space="preserve">RimWorld</t>
  </si>
  <si>
    <t xml:space="preserve">Rocket League</t>
  </si>
  <si>
    <t xml:space="preserve">Rust</t>
  </si>
  <si>
    <t xml:space="preserve">Slay the Spire</t>
  </si>
  <si>
    <t xml:space="preserve">Stardew Valley</t>
  </si>
  <si>
    <t xml:space="preserve">Subnautica</t>
  </si>
  <si>
    <t xml:space="preserve">Terraria</t>
  </si>
  <si>
    <t xml:space="preserve">The Elder Scrolls V: Skyrim SE</t>
  </si>
  <si>
    <t xml:space="preserve">Warhammer 40000: Mechanicus</t>
  </si>
  <si>
    <t xml:space="preserve">GameVault — KPI Summary</t>
  </si>
  <si>
    <t xml:space="preserve">Powered by PwC GameVault Intelligence · Source: Raw Data sheet</t>
  </si>
  <si>
    <t xml:space="preserve">Avg Recommendation Rate</t>
  </si>
  <si>
    <t xml:space="preserve">Top ML Acquisition Score</t>
  </si>
  <si>
    <t xml:space="preserve">Titles at 100% Rec Rate</t>
  </si>
  <si>
    <t xml:space="preserve">Avg Technical Issues</t>
  </si>
  <si>
    <t xml:space="preserve">Total Titles</t>
  </si>
  <si>
    <t xml:space="preserve">Rank</t>
  </si>
  <si>
    <t xml:space="preserve">ML Score</t>
  </si>
  <si>
    <t xml:space="preserve">Score Tier</t>
  </si>
  <si>
    <t xml:space="preserve">Avg Hours</t>
  </si>
  <si>
    <t xml:space="preserve">Rec Band</t>
  </si>
  <si>
    <t xml:space="preserve">Top tier</t>
  </si>
  <si>
    <t xml:space="preserve">100%</t>
  </si>
  <si>
    <t xml:space="preserve">60-79%</t>
  </si>
  <si>
    <t xml:space="preserve">Mid tier</t>
  </si>
  <si>
    <t xml:space="preserve">80-99%</t>
  </si>
  <si>
    <t xml:space="preserve">Emerging</t>
  </si>
  <si>
    <t xml:space="preserve">&lt;60%</t>
  </si>
  <si>
    <t xml:space="preserve">Measure Name</t>
  </si>
  <si>
    <t xml:space="preserve">DAX Formula</t>
  </si>
  <si>
    <t xml:space="preserve">Notes</t>
  </si>
  <si>
    <t xml:space="preserve">Total Reviews = SUM(GameVault[Total Reviews])</t>
  </si>
  <si>
    <t xml:space="preserve">Sum across all titles</t>
  </si>
  <si>
    <t xml:space="preserve">Avg Hours Played = AVERAGE(GameVault[Avg Hours Played])</t>
  </si>
  <si>
    <t xml:space="preserve">Mean of avg_hours_played column</t>
  </si>
  <si>
    <t xml:space="preserve">Median Hours Played = MEDIAN(GameVault[Median Hours Played])</t>
  </si>
  <si>
    <t xml:space="preserve">Avg Rec Rate = AVERAGE(GameVault[Recommendation Rate])</t>
  </si>
  <si>
    <t xml:space="preserve">Max ML Score</t>
  </si>
  <si>
    <t xml:space="preserve">Top ML Score = MAX(GameVault[ML Acquisition Score])</t>
  </si>
  <si>
    <t xml:space="preserve">Identifies best acquisition candidate</t>
  </si>
  <si>
    <t xml:space="preserve">Avg Tech Issues % = AVERAGE(GameVault[Technical Stability Issues])</t>
  </si>
  <si>
    <t xml:space="preserve">Lower = better stability</t>
  </si>
  <si>
    <t xml:space="preserve">Score Tier (calc col)</t>
  </si>
  <si>
    <t xml:space="preserve">Score Tier =
IF(GameVault[ML Acquisition Score] &gt;= 40, "Top tier",
  IF(GameVault[ML Acquisition Score] &gt;= 20, "Mid tier", "Emerging"))</t>
  </si>
  <si>
    <t xml:space="preserve">Calculated column — add to table</t>
  </si>
  <si>
    <t xml:space="preserve">Rec Band (calc col)</t>
  </si>
  <si>
    <t xml:space="preserve">Rec Band =
SWITCH(TRUE(),
  GameVault[Recommendation Rate] = 100, "100%",
  GameVault[Recommendation Rate] &gt;= 80, "80–99%",
  GameVault[Recommendation Rate] &gt;= 60, "60–79%",
  "&lt;60%")</t>
  </si>
  <si>
    <t xml:space="preserve">Calculated column for slicer</t>
  </si>
  <si>
    <t xml:space="preserve">Community Avg</t>
  </si>
  <si>
    <t xml:space="preserve">Avg Community Score = AVERAGE(GameVault[Community &amp; Social])</t>
  </si>
  <si>
    <t xml:space="preserve">Gameplay Avg</t>
  </si>
  <si>
    <t xml:space="preserve">Avg Gameplay Feedback = AVERAGE(GameVault[Gameplay Feedback])</t>
  </si>
  <si>
    <t xml:space="preserve">Tech Issues Flag</t>
  </si>
  <si>
    <t xml:space="preserve">High Tech Issues =
COUNTROWS(FILTER(GameVault,
  GameVault[Technical Stability Issues] &gt; 10))</t>
  </si>
  <si>
    <t xml:space="preserve">Count of titles with &gt;10% tech issues</t>
  </si>
  <si>
    <t xml:space="preserve">Top Title by ML</t>
  </si>
  <si>
    <t xml:space="preserve">Top Title =
CALCULATE(
  FIRSTNONBLANK(GameVault[Title], 1),
  TOPN(1, GameVault, GameVault[ML Acquisition Score])
)</t>
  </si>
  <si>
    <t xml:space="preserve">Use in a Card visual</t>
  </si>
  <si>
    <t xml:space="preserve">Hours Engagement Ratio</t>
  </si>
  <si>
    <t xml:space="preserve">Engagement Ratio =
DIVIDE(
  AVERAGE(GameVault[Avg Hours Played]),
  AVERAGE(GameVault[Median Hours Played])
)</t>
  </si>
  <si>
    <t xml:space="preserve">&gt;1.5 = heavy-session outliers present</t>
  </si>
  <si>
    <t xml:space="preserve">Reviews × ML Index</t>
  </si>
  <si>
    <t xml:space="preserve">Weighted Acquisition Index =
SUMX(GameVault,
  GameVault[Total Reviews] * GameVault[ML Acquisition Score]
)</t>
  </si>
  <si>
    <t xml:space="preserve">Portfolio-level demand signal</t>
  </si>
  <si>
    <t xml:space="preserve">Step</t>
  </si>
  <si>
    <t xml:space="preserve">M Code</t>
  </si>
  <si>
    <t xml:space="preserve">1 — Source</t>
  </si>
  <si>
    <t xml:space="preserve">let
  Source = Csv.Document(File.Contents("gamevault_aggregated_titles.csv"),
    [Delimiter=";", Columns=9, Encoding=65001, QuoteStyle=QuoteStyle.None]),</t>
  </si>
  <si>
    <t xml:space="preserve">2 — Promote headers</t>
  </si>
  <si>
    <t xml:space="preserve">  #"Promoted Headers" = Table.PromoteHeaders(Source, [PromoteAllScalars=true]),</t>
  </si>
  <si>
    <t xml:space="preserve">3 — Change types</t>
  </si>
  <si>
    <t xml:space="preserve">  #"Changed Types" = Table.TransformColumnTypes(#"Promoted Headers", {
    {"title", type text},
    {"total_reviews", Int64.Type},
    {"avg_hours_played", type number},
    {"median_hours_played", type number},
    {"recommendation_rate", type number},
    {"final_ml_acquisition_score", type number},
    {"Community &amp; Social", type number},
    {"Gameplay Feedback", type number},
    {"Technical Stability Issues", type number}
  }),</t>
  </si>
  <si>
    <t xml:space="preserve">4 — Rename columns</t>
  </si>
  <si>
    <t xml:space="preserve">  #"Renamed" = Table.RenameColumns(#"Changed Types", {
    {"title", "Title"},
    {"total_reviews", "Total Reviews"},
    {"avg_hours_played", "Avg Hours Played"},
    {"median_hours_played", "Median Hours Played"},
    {"recommendation_rate", "Recommendation Rate"},
    {"final_ml_acquisition_score", "ML Acquisition Score"}
  }),</t>
  </si>
  <si>
    <t xml:space="preserve">5 — Add Score Tier</t>
  </si>
  <si>
    <t xml:space="preserve">  #"Score Tier" = Table.AddColumn(#"Renamed", "Score Tier",
    each if [ML Acquisition Score] &gt;= 40 then "Top tier"
         else if [ML Acquisition Score] &gt;= 20 then "Mid tier"
         else "Emerging", type text),</t>
  </si>
  <si>
    <t xml:space="preserve">6 — Add Rec Band</t>
  </si>
  <si>
    <t xml:space="preserve">  #"Rec Band" = Table.AddColumn(#"Score Tier", "Rec Band",
    each if [Recommendation Rate] = 100 then "100%"
         else if [Recommendation Rate] &gt;= 80 then "80-99%"
         else if [Recommendation Rate] &gt;= 60 then "60-79%"
         else "&lt;60%", type text),</t>
  </si>
  <si>
    <t xml:space="preserve">7 — Output</t>
  </si>
  <si>
    <t xml:space="preserve">  #"Output" = #"Rec Band"
in
  #"Output"</t>
  </si>
  <si>
    <t xml:space="preserve">Visual</t>
  </si>
  <si>
    <t xml:space="preserve">Type</t>
  </si>
  <si>
    <t xml:space="preserve">Field Config</t>
  </si>
  <si>
    <t xml:space="preserve">KPI — Total Reviews</t>
  </si>
  <si>
    <t xml:space="preserve">Card</t>
  </si>
  <si>
    <t xml:space="preserve">Fields: Total Reviews (measure)</t>
  </si>
  <si>
    <t xml:space="preserve">Format: #,##0</t>
  </si>
  <si>
    <t xml:space="preserve">KPI — Avg Hours</t>
  </si>
  <si>
    <t xml:space="preserve">Fields: Avg Hours Played (measure)</t>
  </si>
  <si>
    <t xml:space="preserve">Format: 0.0h</t>
  </si>
  <si>
    <t xml:space="preserve">KPI — Avg Rec Rate</t>
  </si>
  <si>
    <t xml:space="preserve">Fields: Avg Rec Rate (measure)</t>
  </si>
  <si>
    <t xml:space="preserve">Format: 0.0%</t>
  </si>
  <si>
    <t xml:space="preserve">KPI — Top ML Score</t>
  </si>
  <si>
    <t xml:space="preserve">Fields: Top ML Score (measure)</t>
  </si>
  <si>
    <t xml:space="preserve">Format: 0.00</t>
  </si>
  <si>
    <t xml:space="preserve">KPI — Avg Tech Issues</t>
  </si>
  <si>
    <t xml:space="preserve">Fields: Avg Tech Issues % (measure)</t>
  </si>
  <si>
    <t xml:space="preserve">ML Score Ranking</t>
  </si>
  <si>
    <t xml:space="preserve">Horizontal Bar</t>
  </si>
  <si>
    <t xml:space="preserve">Axis: Title | Value: ML Acquisition Score</t>
  </si>
  <si>
    <t xml:space="preserve">Sort desc by value. Color by Score Tier</t>
  </si>
  <si>
    <t xml:space="preserve">Rec Rate Donut</t>
  </si>
  <si>
    <t xml:space="preserve">Donut Chart</t>
  </si>
  <si>
    <t xml:space="preserve">Legend: Rec Band | Values: COUNTROWS</t>
  </si>
  <si>
    <t xml:space="preserve">Legend: custom colours orange/amber/blue</t>
  </si>
  <si>
    <t xml:space="preserve">Bubble Chart</t>
  </si>
  <si>
    <t xml:space="preserve">Scatter Chart</t>
  </si>
  <si>
    <t xml:space="preserve">X: Total Reviews | Y: Avg Hours Played
Size: ML Acquisition Score</t>
  </si>
  <si>
    <t xml:space="preserve">Tooltip: Title, ML Score</t>
  </si>
  <si>
    <t xml:space="preserve">Feedback Stacked Bar</t>
  </si>
  <si>
    <t xml:space="preserve">Stacked Bar</t>
  </si>
  <si>
    <t xml:space="preserve">Axis: Title | Values: Community &amp; Social,
Gameplay Feedback, Technical Stability Issues</t>
  </si>
  <si>
    <t xml:space="preserve">Filter top 10 by Total Reviews</t>
  </si>
  <si>
    <t xml:space="preserve">Tech Issues Bar</t>
  </si>
  <si>
    <t xml:space="preserve">Axis: Title | Value: Technical Stability Issues
Filter: Technical Stability Issues &gt; 0</t>
  </si>
  <si>
    <t xml:space="preserve">Sort desc. Conditional colour &gt; 15%</t>
  </si>
  <si>
    <t xml:space="preserve">Engagement Line/Bar</t>
  </si>
  <si>
    <t xml:space="preserve">Line+Column Combo</t>
  </si>
  <si>
    <t xml:space="preserve">Shared axis: Title | Column: Avg Hours
Line: Median Hours Played</t>
  </si>
  <si>
    <t xml:space="preserve">Sort by Avg Hours desc</t>
  </si>
  <si>
    <t xml:space="preserve">Score Tier Slicer</t>
  </si>
  <si>
    <t xml:space="preserve">Slicer</t>
  </si>
  <si>
    <t xml:space="preserve">Field: Score Tier</t>
  </si>
  <si>
    <t xml:space="preserve">Style: Dropdown or tile</t>
  </si>
  <si>
    <t xml:space="preserve">Rec Band Slicer</t>
  </si>
  <si>
    <t xml:space="preserve">Field: Rec Band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</si>
</sst>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0\%"/>
    <numFmt numFmtId="167" formatCode="#,##0"/>
    <numFmt numFmtId="168" formatCode="0.0\h"/>
    <numFmt numFmtId="169" formatCode="0.0\%"/>
    <numFmt numFmtId="170" formatCode="0"/>
    <numFmt numFmtId="171" formatCode="@"/>
    <numFmt numFmtId="172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D1D1B"/>
      <name val="Arial"/>
      <family val="0"/>
      <charset val="1"/>
    </font>
    <font>
      <b val="true"/>
      <sz val="14"/>
      <color rgb="FF1D1D1B"/>
      <name val="Arial"/>
      <family val="0"/>
      <charset val="1"/>
    </font>
    <font>
      <sz val="9"/>
      <color rgb="FF7D7D7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D1D1B"/>
      <name val="Arial"/>
      <family val="0"/>
      <charset val="1"/>
    </font>
    <font>
      <b val="true"/>
      <sz val="10"/>
      <color rgb="FFD04A02"/>
      <name val="Arial"/>
      <family val="0"/>
      <charset val="1"/>
    </font>
    <font>
      <sz val="10"/>
      <color rgb="FF415385"/>
      <name val="Arial"/>
      <family val="0"/>
      <charset val="1"/>
    </font>
    <font>
      <b val="true"/>
      <sz val="10"/>
      <color rgb="FFEB8C00"/>
      <name val="Arial"/>
      <family val="0"/>
      <charset val="1"/>
    </font>
    <font>
      <sz val="10"/>
      <color rgb="FFEB8C00"/>
      <name val="Arial"/>
      <family val="0"/>
      <charset val="1"/>
    </font>
    <font>
      <sz val="10"/>
      <color rgb="FFA31F1F"/>
      <name val="Arial"/>
      <family val="0"/>
      <charset val="1"/>
    </font>
    <font>
      <sz val="9"/>
      <color rgb="FF1D1D1B"/>
      <name val="Arial"/>
      <family val="0"/>
      <charset val="1"/>
    </font>
    <font>
      <sz val="9"/>
      <color rgb="FF1D1D1B"/>
      <name val="Courier New"/>
      <family val="0"/>
      <charset val="1"/>
    </font>
    <font>
      <b val="true"/>
      <sz val="9"/>
      <color rgb="FF1D1D1B"/>
      <name val="Arial"/>
      <family val="0"/>
      <charset val="1"/>
    </font>
    <font>
      <sz val="9"/>
      <color rgb="FF415385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04A02"/>
        <bgColor rgb="FFA31F1F"/>
      </patternFill>
    </fill>
    <fill>
      <patternFill patternType="solid">
        <fgColor rgb="FFFFFFFF"/>
        <bgColor rgb="FFFCF0F0"/>
      </patternFill>
    </fill>
    <fill>
      <patternFill patternType="solid">
        <fgColor rgb="FFF2F2F2"/>
        <bgColor rgb="FFFCF0F0"/>
      </patternFill>
    </fill>
    <fill>
      <patternFill patternType="solid">
        <fgColor rgb="FF415385"/>
        <bgColor rgb="FF333399"/>
      </patternFill>
    </fill>
    <fill>
      <patternFill patternType="solid">
        <fgColor rgb="FFEB8C00"/>
        <bgColor rgb="FFFF8080"/>
      </patternFill>
    </fill>
    <fill>
      <patternFill patternType="solid">
        <fgColor rgb="FF299D2E"/>
        <bgColor rgb="FF008000"/>
      </patternFill>
    </fill>
    <fill>
      <patternFill patternType="solid">
        <fgColor rgb="FFA31F1F"/>
        <bgColor rgb="FF993366"/>
      </patternFill>
    </fill>
    <fill>
      <patternFill patternType="solid">
        <fgColor rgb="FF1D1D1B"/>
        <bgColor rgb="FF333300"/>
      </patternFill>
    </fill>
    <fill>
      <patternFill patternType="solid">
        <fgColor rgb="FFFBEEE8"/>
        <bgColor rgb="FFFCF0F0"/>
      </patternFill>
    </fill>
    <fill>
      <patternFill patternType="solid">
        <fgColor rgb="FFE8EBF2"/>
        <bgColor rgb="FFF2F2F2"/>
      </patternFill>
    </fill>
    <fill>
      <patternFill patternType="solid">
        <fgColor rgb="FFFDF3DC"/>
        <bgColor rgb="FFFBEEE8"/>
      </patternFill>
    </fill>
    <fill>
      <patternFill patternType="solid">
        <fgColor rgb="FFFCF0F0"/>
        <bgColor rgb="FFFBEE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D7D7D"/>
      <rgbColor rgb="FF9999FF"/>
      <rgbColor rgb="FF993366"/>
      <rgbColor rgb="FFFDF3DC"/>
      <rgbColor rgb="FFE8EBF2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CF0F0"/>
      <rgbColor rgb="FFFBEE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B8C00"/>
      <rgbColor rgb="FFD04A02"/>
      <rgbColor rgb="FF415385"/>
      <rgbColor rgb="FF969696"/>
      <rgbColor rgb="FF003366"/>
      <rgbColor rgb="FF299D2E"/>
      <rgbColor rgb="FF003300"/>
      <rgbColor rgb="FF333300"/>
      <rgbColor rgb="FFA31F1F"/>
      <rgbColor rgb="FF993366"/>
      <rgbColor rgb="FF333399"/>
      <rgbColor rgb="FF1D1D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8" min="7" style="0" width="22"/>
    <col collapsed="false" customWidth="true" hidden="false" outlineLevel="0" max="9" min="9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8</v>
      </c>
      <c r="C2" s="4" t="n">
        <v>27.38</v>
      </c>
      <c r="D2" s="4" t="n">
        <v>25.5</v>
      </c>
      <c r="E2" s="5" t="n">
        <v>100</v>
      </c>
      <c r="F2" s="4" t="n">
        <v>0.49</v>
      </c>
      <c r="G2" s="5" t="n">
        <v>100</v>
      </c>
      <c r="H2" s="5" t="n">
        <v>0</v>
      </c>
      <c r="I2" s="5" t="n">
        <v>0</v>
      </c>
    </row>
    <row r="3" customFormat="false" ht="15" hidden="false" customHeight="false" outlineLevel="0" collapsed="false">
      <c r="A3" s="6" t="s">
        <v>10</v>
      </c>
      <c r="B3" s="7" t="n">
        <v>576</v>
      </c>
      <c r="C3" s="8" t="n">
        <v>52.57</v>
      </c>
      <c r="D3" s="8" t="n">
        <v>28</v>
      </c>
      <c r="E3" s="9" t="n">
        <v>86.11</v>
      </c>
      <c r="F3" s="8" t="n">
        <v>5.78</v>
      </c>
      <c r="G3" s="9" t="n">
        <v>86.46</v>
      </c>
      <c r="H3" s="9" t="n">
        <v>12.33</v>
      </c>
      <c r="I3" s="9" t="n">
        <v>1.22</v>
      </c>
    </row>
    <row r="4" customFormat="false" ht="15" hidden="false" customHeight="false" outlineLevel="0" collapsed="false">
      <c r="A4" s="2" t="s">
        <v>11</v>
      </c>
      <c r="B4" s="3" t="n">
        <v>10</v>
      </c>
      <c r="C4" s="4" t="n">
        <v>57.3</v>
      </c>
      <c r="D4" s="4" t="n">
        <v>26.5</v>
      </c>
      <c r="E4" s="5" t="n">
        <v>100</v>
      </c>
      <c r="F4" s="4" t="n">
        <v>19.42</v>
      </c>
      <c r="G4" s="5" t="n">
        <v>100</v>
      </c>
      <c r="H4" s="5" t="n">
        <v>0</v>
      </c>
      <c r="I4" s="5" t="n">
        <v>0</v>
      </c>
    </row>
    <row r="5" customFormat="false" ht="15" hidden="false" customHeight="false" outlineLevel="0" collapsed="false">
      <c r="A5" s="6" t="s">
        <v>12</v>
      </c>
      <c r="B5" s="7" t="n">
        <v>1034</v>
      </c>
      <c r="C5" s="8" t="n">
        <v>250.34</v>
      </c>
      <c r="D5" s="8" t="n">
        <v>97</v>
      </c>
      <c r="E5" s="9" t="n">
        <v>63.06</v>
      </c>
      <c r="F5" s="8" t="n">
        <v>31.41</v>
      </c>
      <c r="G5" s="9" t="n">
        <v>83.75</v>
      </c>
      <c r="H5" s="9" t="n">
        <v>10.74</v>
      </c>
      <c r="I5" s="9" t="n">
        <v>5.51</v>
      </c>
    </row>
    <row r="6" customFormat="false" ht="15" hidden="false" customHeight="false" outlineLevel="0" collapsed="false">
      <c r="A6" s="2" t="s">
        <v>13</v>
      </c>
      <c r="B6" s="3" t="n">
        <v>330</v>
      </c>
      <c r="C6" s="4" t="n">
        <v>207.35</v>
      </c>
      <c r="D6" s="4" t="n">
        <v>96</v>
      </c>
      <c r="E6" s="5" t="n">
        <v>100</v>
      </c>
      <c r="F6" s="4" t="n">
        <v>31.22</v>
      </c>
      <c r="G6" s="5" t="n">
        <v>89.39</v>
      </c>
      <c r="H6" s="5" t="n">
        <v>8.18</v>
      </c>
      <c r="I6" s="5" t="n">
        <v>2.42</v>
      </c>
    </row>
    <row r="7" customFormat="false" ht="15" hidden="false" customHeight="false" outlineLevel="0" collapsed="false">
      <c r="A7" s="6" t="s">
        <v>14</v>
      </c>
      <c r="B7" s="7" t="n">
        <v>158</v>
      </c>
      <c r="C7" s="8" t="n">
        <v>389.47</v>
      </c>
      <c r="D7" s="8" t="n">
        <v>176.5</v>
      </c>
      <c r="E7" s="9" t="n">
        <v>100</v>
      </c>
      <c r="F7" s="8" t="n">
        <v>55.05</v>
      </c>
      <c r="G7" s="9" t="n">
        <v>91.77</v>
      </c>
      <c r="H7" s="9" t="n">
        <v>7.59</v>
      </c>
      <c r="I7" s="9" t="n">
        <v>0.63</v>
      </c>
    </row>
    <row r="8" customFormat="false" ht="15" hidden="false" customHeight="false" outlineLevel="0" collapsed="false">
      <c r="A8" s="2" t="s">
        <v>15</v>
      </c>
      <c r="B8" s="3" t="n">
        <v>7</v>
      </c>
      <c r="C8" s="4" t="n">
        <v>245.71</v>
      </c>
      <c r="D8" s="4" t="n">
        <v>75</v>
      </c>
      <c r="E8" s="5" t="n">
        <v>42.86</v>
      </c>
      <c r="F8" s="4" t="n">
        <v>16.72</v>
      </c>
      <c r="G8" s="5" t="n">
        <v>100</v>
      </c>
      <c r="H8" s="5" t="n">
        <v>0</v>
      </c>
      <c r="I8" s="5" t="n">
        <v>0</v>
      </c>
    </row>
    <row r="9" customFormat="false" ht="15" hidden="false" customHeight="false" outlineLevel="0" collapsed="false">
      <c r="A9" s="6" t="s">
        <v>16</v>
      </c>
      <c r="B9" s="7" t="n">
        <v>2173</v>
      </c>
      <c r="C9" s="8" t="n">
        <v>289.06</v>
      </c>
      <c r="D9" s="8" t="n">
        <v>182</v>
      </c>
      <c r="E9" s="9" t="n">
        <v>63.23</v>
      </c>
      <c r="F9" s="8" t="n">
        <v>43.88</v>
      </c>
      <c r="G9" s="9" t="n">
        <v>91.72</v>
      </c>
      <c r="H9" s="9" t="n">
        <v>5.38</v>
      </c>
      <c r="I9" s="9" t="n">
        <v>2.9</v>
      </c>
    </row>
    <row r="10" customFormat="false" ht="15" hidden="false" customHeight="false" outlineLevel="0" collapsed="false">
      <c r="A10" s="2" t="s">
        <v>17</v>
      </c>
      <c r="B10" s="3" t="n">
        <v>208</v>
      </c>
      <c r="C10" s="4" t="n">
        <v>45.97</v>
      </c>
      <c r="D10" s="4" t="n">
        <v>30</v>
      </c>
      <c r="E10" s="5" t="n">
        <v>94.23</v>
      </c>
      <c r="F10" s="4" t="n">
        <v>5.21</v>
      </c>
      <c r="G10" s="5" t="n">
        <v>89.42</v>
      </c>
      <c r="H10" s="5" t="n">
        <v>10.1</v>
      </c>
      <c r="I10" s="5" t="n">
        <v>0.48</v>
      </c>
    </row>
    <row r="11" customFormat="false" ht="15" hidden="false" customHeight="false" outlineLevel="0" collapsed="false">
      <c r="A11" s="6" t="s">
        <v>18</v>
      </c>
      <c r="B11" s="7" t="n">
        <v>202</v>
      </c>
      <c r="C11" s="8" t="n">
        <v>310.63</v>
      </c>
      <c r="D11" s="8" t="n">
        <v>82.5</v>
      </c>
      <c r="E11" s="9" t="n">
        <v>99.5</v>
      </c>
      <c r="F11" s="8" t="n">
        <v>29.01</v>
      </c>
      <c r="G11" s="9" t="n">
        <v>82.18</v>
      </c>
      <c r="H11" s="9" t="n">
        <v>10.89</v>
      </c>
      <c r="I11" s="9" t="n">
        <v>6.93</v>
      </c>
    </row>
    <row r="12" customFormat="false" ht="15" hidden="false" customHeight="false" outlineLevel="0" collapsed="false">
      <c r="A12" s="2" t="s">
        <v>19</v>
      </c>
      <c r="B12" s="3" t="n">
        <v>774</v>
      </c>
      <c r="C12" s="4" t="n">
        <v>153.67</v>
      </c>
      <c r="D12" s="4" t="n">
        <v>107</v>
      </c>
      <c r="E12" s="5" t="n">
        <v>60.08</v>
      </c>
      <c r="F12" s="4" t="n">
        <v>31.06</v>
      </c>
      <c r="G12" s="5" t="n">
        <v>92.51</v>
      </c>
      <c r="H12" s="5" t="n">
        <v>6.59</v>
      </c>
      <c r="I12" s="5" t="n">
        <v>0.9</v>
      </c>
    </row>
    <row r="13" customFormat="false" ht="15" hidden="false" customHeight="false" outlineLevel="0" collapsed="false">
      <c r="A13" s="6" t="s">
        <v>20</v>
      </c>
      <c r="B13" s="7" t="n">
        <v>10</v>
      </c>
      <c r="C13" s="8" t="n">
        <v>29.1</v>
      </c>
      <c r="D13" s="8" t="n">
        <v>20</v>
      </c>
      <c r="E13" s="9" t="n">
        <v>90</v>
      </c>
      <c r="F13" s="8" t="n">
        <v>0.35</v>
      </c>
      <c r="G13" s="9" t="n">
        <v>60</v>
      </c>
      <c r="H13" s="9" t="n">
        <v>40</v>
      </c>
      <c r="I13" s="9" t="n">
        <v>0</v>
      </c>
    </row>
    <row r="14" customFormat="false" ht="15" hidden="false" customHeight="false" outlineLevel="0" collapsed="false">
      <c r="A14" s="2" t="s">
        <v>21</v>
      </c>
      <c r="B14" s="3" t="n">
        <v>2538</v>
      </c>
      <c r="C14" s="4" t="n">
        <v>358.75</v>
      </c>
      <c r="D14" s="4" t="n">
        <v>234</v>
      </c>
      <c r="E14" s="5" t="n">
        <v>68.36</v>
      </c>
      <c r="F14" s="4" t="n">
        <v>54.05</v>
      </c>
      <c r="G14" s="5" t="n">
        <v>88.02</v>
      </c>
      <c r="H14" s="5" t="n">
        <v>7.92</v>
      </c>
      <c r="I14" s="5" t="n">
        <v>4.06</v>
      </c>
    </row>
    <row r="15" customFormat="false" ht="15" hidden="false" customHeight="false" outlineLevel="0" collapsed="false">
      <c r="A15" s="6" t="s">
        <v>22</v>
      </c>
      <c r="B15" s="7" t="n">
        <v>496</v>
      </c>
      <c r="C15" s="8" t="n">
        <v>26.85</v>
      </c>
      <c r="D15" s="8" t="n">
        <v>21</v>
      </c>
      <c r="E15" s="9" t="n">
        <v>98.59</v>
      </c>
      <c r="F15" s="8" t="n">
        <v>0.48</v>
      </c>
      <c r="G15" s="9" t="n">
        <v>97.58</v>
      </c>
      <c r="H15" s="9" t="n">
        <v>0.6</v>
      </c>
      <c r="I15" s="9" t="n">
        <v>1.81</v>
      </c>
    </row>
    <row r="16" customFormat="false" ht="15" hidden="false" customHeight="false" outlineLevel="0" collapsed="false">
      <c r="A16" s="2" t="s">
        <v>23</v>
      </c>
      <c r="B16" s="3" t="n">
        <v>184</v>
      </c>
      <c r="C16" s="4" t="n">
        <v>248.71</v>
      </c>
      <c r="D16" s="4" t="n">
        <v>130.5</v>
      </c>
      <c r="E16" s="5" t="n">
        <v>100</v>
      </c>
      <c r="F16" s="4" t="n">
        <v>45.34</v>
      </c>
      <c r="G16" s="5" t="n">
        <v>94.57</v>
      </c>
      <c r="H16" s="5" t="n">
        <v>4.89</v>
      </c>
      <c r="I16" s="5" t="n">
        <v>0.54</v>
      </c>
    </row>
    <row r="17" customFormat="false" ht="15" hidden="false" customHeight="false" outlineLevel="0" collapsed="false">
      <c r="A17" s="6" t="s">
        <v>24</v>
      </c>
      <c r="B17" s="7" t="n">
        <v>1772</v>
      </c>
      <c r="C17" s="8" t="n">
        <v>398.66</v>
      </c>
      <c r="D17" s="8" t="n">
        <v>164.5</v>
      </c>
      <c r="E17" s="9" t="n">
        <v>60.55</v>
      </c>
      <c r="F17" s="8" t="n">
        <v>38.33</v>
      </c>
      <c r="G17" s="9" t="n">
        <v>84.2</v>
      </c>
      <c r="H17" s="9" t="n">
        <v>13.04</v>
      </c>
      <c r="I17" s="9" t="n">
        <v>2.77</v>
      </c>
    </row>
    <row r="18" customFormat="false" ht="15" hidden="false" customHeight="false" outlineLevel="0" collapsed="false">
      <c r="A18" s="2" t="s">
        <v>25</v>
      </c>
      <c r="B18" s="3" t="n">
        <v>2290</v>
      </c>
      <c r="C18" s="4" t="n">
        <v>494.77</v>
      </c>
      <c r="D18" s="4" t="n">
        <v>171</v>
      </c>
      <c r="E18" s="5" t="n">
        <v>66.46</v>
      </c>
      <c r="F18" s="4" t="n">
        <v>45.49</v>
      </c>
      <c r="G18" s="5" t="n">
        <v>89.78</v>
      </c>
      <c r="H18" s="5" t="n">
        <v>7.73</v>
      </c>
      <c r="I18" s="5" t="n">
        <v>2.49</v>
      </c>
    </row>
    <row r="19" customFormat="false" ht="15" hidden="false" customHeight="false" outlineLevel="0" collapsed="false">
      <c r="A19" s="6" t="s">
        <v>26</v>
      </c>
      <c r="B19" s="7" t="n">
        <v>231</v>
      </c>
      <c r="C19" s="8" t="n">
        <v>147.04</v>
      </c>
      <c r="D19" s="8" t="n">
        <v>107</v>
      </c>
      <c r="E19" s="9" t="n">
        <v>99.13</v>
      </c>
      <c r="F19" s="8" t="n">
        <v>37.52</v>
      </c>
      <c r="G19" s="9" t="n">
        <v>86.15</v>
      </c>
      <c r="H19" s="9" t="n">
        <v>13.42</v>
      </c>
      <c r="I19" s="9" t="n">
        <v>0.43</v>
      </c>
    </row>
    <row r="20" customFormat="false" ht="15" hidden="false" customHeight="false" outlineLevel="0" collapsed="false">
      <c r="A20" s="2" t="s">
        <v>27</v>
      </c>
      <c r="B20" s="3" t="n">
        <v>183</v>
      </c>
      <c r="C20" s="4" t="n">
        <v>124.64</v>
      </c>
      <c r="D20" s="4" t="n">
        <v>91</v>
      </c>
      <c r="E20" s="5" t="n">
        <v>100</v>
      </c>
      <c r="F20" s="4" t="n">
        <v>27.68</v>
      </c>
      <c r="G20" s="5" t="n">
        <v>89.62</v>
      </c>
      <c r="H20" s="5" t="n">
        <v>8.74</v>
      </c>
      <c r="I20" s="5" t="n">
        <v>1.64</v>
      </c>
    </row>
    <row r="21" customFormat="false" ht="15" hidden="false" customHeight="false" outlineLevel="0" collapsed="false">
      <c r="A21" s="6" t="s">
        <v>28</v>
      </c>
      <c r="B21" s="7" t="n">
        <v>204</v>
      </c>
      <c r="C21" s="8" t="n">
        <v>92.3</v>
      </c>
      <c r="D21" s="8" t="n">
        <v>60</v>
      </c>
      <c r="E21" s="9" t="n">
        <v>100</v>
      </c>
      <c r="F21" s="8" t="n">
        <v>15.19</v>
      </c>
      <c r="G21" s="9" t="n">
        <v>90.69</v>
      </c>
      <c r="H21" s="9" t="n">
        <v>7.84</v>
      </c>
      <c r="I21" s="9" t="n">
        <v>1.47</v>
      </c>
    </row>
    <row r="22" customFormat="false" ht="15" hidden="false" customHeight="false" outlineLevel="0" collapsed="false">
      <c r="A22" s="2" t="s">
        <v>29</v>
      </c>
      <c r="B22" s="3" t="n">
        <v>239</v>
      </c>
      <c r="C22" s="4" t="n">
        <v>430.77</v>
      </c>
      <c r="D22" s="4" t="n">
        <v>283</v>
      </c>
      <c r="E22" s="5" t="n">
        <v>100</v>
      </c>
      <c r="F22" s="4" t="n">
        <v>51.17</v>
      </c>
      <c r="G22" s="5" t="n">
        <v>82.01</v>
      </c>
      <c r="H22" s="5" t="n">
        <v>14.23</v>
      </c>
      <c r="I22" s="5" t="n">
        <v>3.77</v>
      </c>
    </row>
    <row r="23" customFormat="false" ht="15" hidden="false" customHeight="false" outlineLevel="0" collapsed="false">
      <c r="A23" s="6" t="s">
        <v>30</v>
      </c>
      <c r="B23" s="7" t="n">
        <v>976</v>
      </c>
      <c r="C23" s="8" t="n">
        <v>99.85</v>
      </c>
      <c r="D23" s="8" t="n">
        <v>46.5</v>
      </c>
      <c r="E23" s="9" t="n">
        <v>63.83</v>
      </c>
      <c r="F23" s="8" t="n">
        <v>15.01</v>
      </c>
      <c r="G23" s="9" t="n">
        <v>72.85</v>
      </c>
      <c r="H23" s="9" t="n">
        <v>1.02</v>
      </c>
      <c r="I23" s="9" t="n">
        <v>26.13</v>
      </c>
    </row>
    <row r="24" customFormat="false" ht="15" hidden="false" customHeight="false" outlineLevel="0" collapsed="false">
      <c r="A24" s="2" t="s">
        <v>31</v>
      </c>
      <c r="B24" s="3" t="n">
        <v>7</v>
      </c>
      <c r="C24" s="4" t="n">
        <v>22.71</v>
      </c>
      <c r="D24" s="4" t="n">
        <v>20</v>
      </c>
      <c r="E24" s="5" t="n">
        <v>100</v>
      </c>
      <c r="F24" s="4" t="n">
        <v>0.34</v>
      </c>
      <c r="G24" s="5" t="n">
        <v>85.71</v>
      </c>
      <c r="H24" s="5" t="n">
        <v>14.29</v>
      </c>
      <c r="I24" s="5" t="n">
        <v>0</v>
      </c>
    </row>
  </sheetData>
  <conditionalFormatting sqref="F2:F24">
    <cfRule type="colorScale" priority="2">
      <colorScale>
        <cfvo type="min" val="0"/>
        <cfvo type="percentile" val="50"/>
        <cfvo type="max" val="0"/>
        <color rgb="FFFBEEE8"/>
        <color rgb="FFEB8C00"/>
        <color rgb="FFD04A02"/>
      </colorScale>
    </cfRule>
  </conditionalFormatting>
  <conditionalFormatting sqref="E2:E24">
    <cfRule type="dataBar" priority="3">
      <dataBar showValue="1" minLength="10" maxLength="90">
        <cfvo type="num" val="0"/>
        <cfvo type="num" val="100"/>
        <color rgb="FF415385"/>
      </dataBar>
      <extLst>
        <ext xmlns:x14="http://schemas.microsoft.com/office/spreadsheetml/2009/9/main" uri="{B025F937-C7B1-47D3-B67F-A62EFF666E3E}">
          <x14:id>{F583A1B5-4FA0-4094-BA3B-B842122C754F}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83A1B5-4FA0-4094-BA3B-B842122C754F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415385"/>
              <x14:axisColor rgb="FF000000"/>
            </x14:dataBar>
          </x14:cfRule>
          <xm:sqref>E2:E24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4" style="0" width="26"/>
    <col collapsed="false" customWidth="true" hidden="false" outlineLevel="0" max="7" min="7" style="0" width="26"/>
    <col collapsed="false" customWidth="true" hidden="false" outlineLevel="0" max="10" min="10" style="0" width="26"/>
  </cols>
  <sheetData>
    <row r="1" customFormat="false" ht="19.5" hidden="false" customHeight="true" outlineLevel="0" collapsed="false">
      <c r="A1" s="10" t="s">
        <v>32</v>
      </c>
    </row>
    <row r="2" customFormat="false" ht="13.5" hidden="false" customHeight="true" outlineLevel="0" collapsed="false">
      <c r="A2" s="11" t="s">
        <v>33</v>
      </c>
    </row>
    <row r="4" customFormat="false" ht="13.5" hidden="false" customHeight="true" outlineLevel="0" collapsed="false">
      <c r="A4" s="12" t="s">
        <v>1</v>
      </c>
      <c r="B4" s="12"/>
      <c r="D4" s="13" t="s">
        <v>2</v>
      </c>
      <c r="E4" s="13"/>
      <c r="G4" s="14" t="s">
        <v>34</v>
      </c>
      <c r="H4" s="14"/>
      <c r="J4" s="15" t="s">
        <v>35</v>
      </c>
      <c r="K4" s="15"/>
    </row>
    <row r="5" customFormat="false" ht="27.75" hidden="false" customHeight="true" outlineLevel="0" collapsed="false">
      <c r="A5" s="16" t="n">
        <f aca="false">'Raw Data'!B24+SUMPRODUCT(('Raw Data'!B2:B24)*(ROW('Raw Data'!B2:B24)&gt;1))</f>
        <v>14617</v>
      </c>
      <c r="B5" s="16"/>
      <c r="D5" s="17" t="n">
        <f aca="false">AVERAGE('Raw Data'!C2:C24)</f>
        <v>195.808695652174</v>
      </c>
      <c r="E5" s="17"/>
      <c r="G5" s="18" t="n">
        <f aca="false">AVERAGE('Raw Data'!E2:E24)</f>
        <v>85.0430434782609</v>
      </c>
      <c r="H5" s="18"/>
      <c r="J5" s="19" t="n">
        <f aca="false">MAX('Raw Data'!F2:F24)</f>
        <v>55.05</v>
      </c>
      <c r="K5" s="19"/>
    </row>
    <row r="6" customFormat="false" ht="9.75" hidden="false" customHeight="true" outlineLevel="0" collapsed="false"/>
    <row r="9" customFormat="false" ht="13.5" hidden="false" customHeight="true" outlineLevel="0" collapsed="false">
      <c r="A9" s="13" t="s">
        <v>3</v>
      </c>
      <c r="B9" s="13"/>
      <c r="D9" s="12" t="s">
        <v>36</v>
      </c>
      <c r="E9" s="12"/>
      <c r="G9" s="20" t="s">
        <v>37</v>
      </c>
      <c r="H9" s="20"/>
      <c r="J9" s="21" t="s">
        <v>38</v>
      </c>
      <c r="K9" s="21"/>
    </row>
    <row r="10" customFormat="false" ht="27.75" hidden="false" customHeight="true" outlineLevel="0" collapsed="false">
      <c r="A10" s="17" t="n">
        <f aca="false">MEDIAN('Raw Data'!D2:D24)</f>
        <v>91</v>
      </c>
      <c r="B10" s="17"/>
      <c r="D10" s="22" t="n">
        <f aca="false">COUNTIF('Raw Data'!E2:E24,100)</f>
        <v>9</v>
      </c>
      <c r="E10" s="22"/>
      <c r="G10" s="18" t="n">
        <f aca="false">AVERAGE('Raw Data'!I2:I24)</f>
        <v>2.87391304347826</v>
      </c>
      <c r="H10" s="18"/>
      <c r="J10" s="22" t="n">
        <f aca="false">COUNTA('Raw Data'!A2:A24)</f>
        <v>23</v>
      </c>
      <c r="K10" s="22"/>
    </row>
    <row r="11" customFormat="false" ht="9.75" hidden="false" customHeight="true" outlineLevel="0" collapsed="false"/>
  </sheetData>
  <mergeCells count="16">
    <mergeCell ref="A4:B4"/>
    <mergeCell ref="D4:E4"/>
    <mergeCell ref="G4:H4"/>
    <mergeCell ref="J4:K4"/>
    <mergeCell ref="A5:B5"/>
    <mergeCell ref="D5:E5"/>
    <mergeCell ref="G5:H5"/>
    <mergeCell ref="J5:K5"/>
    <mergeCell ref="A9:B9"/>
    <mergeCell ref="D9:E9"/>
    <mergeCell ref="G9:H9"/>
    <mergeCell ref="J9:K9"/>
    <mergeCell ref="A10:B10"/>
    <mergeCell ref="D10:E10"/>
    <mergeCell ref="G10:H10"/>
    <mergeCell ref="J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23" t="s">
        <v>39</v>
      </c>
      <c r="B1" s="23" t="s">
        <v>0</v>
      </c>
      <c r="C1" s="23" t="s">
        <v>40</v>
      </c>
      <c r="D1" s="23" t="s">
        <v>41</v>
      </c>
      <c r="E1" s="23" t="s">
        <v>4</v>
      </c>
      <c r="F1" s="23" t="s">
        <v>1</v>
      </c>
      <c r="G1" s="23" t="s">
        <v>42</v>
      </c>
      <c r="H1" s="23" t="s">
        <v>43</v>
      </c>
    </row>
    <row r="2" customFormat="false" ht="15" hidden="false" customHeight="false" outlineLevel="0" collapsed="false">
      <c r="A2" s="24" t="n">
        <v>1</v>
      </c>
      <c r="B2" s="25" t="s">
        <v>14</v>
      </c>
      <c r="C2" s="4" t="n">
        <v>55.05</v>
      </c>
      <c r="D2" s="26" t="s">
        <v>44</v>
      </c>
      <c r="E2" s="4" t="n">
        <v>100</v>
      </c>
      <c r="F2" s="27" t="n">
        <v>158</v>
      </c>
      <c r="G2" s="28" t="n">
        <v>389.47</v>
      </c>
      <c r="H2" s="26" t="s">
        <v>45</v>
      </c>
    </row>
    <row r="3" customFormat="false" ht="15" hidden="false" customHeight="false" outlineLevel="0" collapsed="false">
      <c r="A3" s="29" t="n">
        <v>2</v>
      </c>
      <c r="B3" s="30" t="s">
        <v>21</v>
      </c>
      <c r="C3" s="8" t="n">
        <v>54.05</v>
      </c>
      <c r="D3" s="26" t="s">
        <v>44</v>
      </c>
      <c r="E3" s="8" t="n">
        <v>68.36</v>
      </c>
      <c r="F3" s="31" t="n">
        <v>2538</v>
      </c>
      <c r="G3" s="32" t="n">
        <v>358.75</v>
      </c>
      <c r="H3" s="33" t="s">
        <v>46</v>
      </c>
    </row>
    <row r="4" customFormat="false" ht="15" hidden="false" customHeight="false" outlineLevel="0" collapsed="false">
      <c r="A4" s="24" t="n">
        <v>3</v>
      </c>
      <c r="B4" s="25" t="s">
        <v>29</v>
      </c>
      <c r="C4" s="4" t="n">
        <v>51.17</v>
      </c>
      <c r="D4" s="26" t="s">
        <v>44</v>
      </c>
      <c r="E4" s="4" t="n">
        <v>100</v>
      </c>
      <c r="F4" s="27" t="n">
        <v>239</v>
      </c>
      <c r="G4" s="28" t="n">
        <v>430.77</v>
      </c>
      <c r="H4" s="26" t="s">
        <v>45</v>
      </c>
    </row>
    <row r="5" customFormat="false" ht="15" hidden="false" customHeight="false" outlineLevel="0" collapsed="false">
      <c r="A5" s="29" t="n">
        <v>4</v>
      </c>
      <c r="B5" s="30" t="s">
        <v>25</v>
      </c>
      <c r="C5" s="8" t="n">
        <v>45.49</v>
      </c>
      <c r="D5" s="26" t="s">
        <v>44</v>
      </c>
      <c r="E5" s="8" t="n">
        <v>66.46</v>
      </c>
      <c r="F5" s="31" t="n">
        <v>2290</v>
      </c>
      <c r="G5" s="32" t="n">
        <v>494.77</v>
      </c>
      <c r="H5" s="33" t="s">
        <v>46</v>
      </c>
    </row>
    <row r="6" customFormat="false" ht="15" hidden="false" customHeight="false" outlineLevel="0" collapsed="false">
      <c r="A6" s="24" t="n">
        <v>5</v>
      </c>
      <c r="B6" s="25" t="s">
        <v>23</v>
      </c>
      <c r="C6" s="4" t="n">
        <v>45.34</v>
      </c>
      <c r="D6" s="26" t="s">
        <v>44</v>
      </c>
      <c r="E6" s="4" t="n">
        <v>100</v>
      </c>
      <c r="F6" s="27" t="n">
        <v>184</v>
      </c>
      <c r="G6" s="28" t="n">
        <v>248.71</v>
      </c>
      <c r="H6" s="26" t="s">
        <v>45</v>
      </c>
    </row>
    <row r="7" customFormat="false" ht="15" hidden="false" customHeight="false" outlineLevel="0" collapsed="false">
      <c r="A7" s="29" t="n">
        <v>6</v>
      </c>
      <c r="B7" s="30" t="s">
        <v>16</v>
      </c>
      <c r="C7" s="8" t="n">
        <v>43.88</v>
      </c>
      <c r="D7" s="26" t="s">
        <v>44</v>
      </c>
      <c r="E7" s="8" t="n">
        <v>63.23</v>
      </c>
      <c r="F7" s="31" t="n">
        <v>2173</v>
      </c>
      <c r="G7" s="32" t="n">
        <v>289.06</v>
      </c>
      <c r="H7" s="33" t="s">
        <v>46</v>
      </c>
    </row>
    <row r="8" customFormat="false" ht="15" hidden="false" customHeight="false" outlineLevel="0" collapsed="false">
      <c r="A8" s="24" t="n">
        <v>7</v>
      </c>
      <c r="B8" s="25" t="s">
        <v>24</v>
      </c>
      <c r="C8" s="4" t="n">
        <v>38.33</v>
      </c>
      <c r="D8" s="34" t="s">
        <v>47</v>
      </c>
      <c r="E8" s="4" t="n">
        <v>60.55</v>
      </c>
      <c r="F8" s="27" t="n">
        <v>1772</v>
      </c>
      <c r="G8" s="28" t="n">
        <v>398.66</v>
      </c>
      <c r="H8" s="33" t="s">
        <v>46</v>
      </c>
    </row>
    <row r="9" customFormat="false" ht="15" hidden="false" customHeight="false" outlineLevel="0" collapsed="false">
      <c r="A9" s="29" t="n">
        <v>8</v>
      </c>
      <c r="B9" s="30" t="s">
        <v>26</v>
      </c>
      <c r="C9" s="8" t="n">
        <v>37.52</v>
      </c>
      <c r="D9" s="34" t="s">
        <v>47</v>
      </c>
      <c r="E9" s="8" t="n">
        <v>99.13</v>
      </c>
      <c r="F9" s="31" t="n">
        <v>231</v>
      </c>
      <c r="G9" s="32" t="n">
        <v>147.04</v>
      </c>
      <c r="H9" s="35" t="s">
        <v>48</v>
      </c>
    </row>
    <row r="10" customFormat="false" ht="15" hidden="false" customHeight="false" outlineLevel="0" collapsed="false">
      <c r="A10" s="24" t="n">
        <v>9</v>
      </c>
      <c r="B10" s="25" t="s">
        <v>12</v>
      </c>
      <c r="C10" s="4" t="n">
        <v>31.41</v>
      </c>
      <c r="D10" s="34" t="s">
        <v>47</v>
      </c>
      <c r="E10" s="4" t="n">
        <v>63.06</v>
      </c>
      <c r="F10" s="27" t="n">
        <v>1034</v>
      </c>
      <c r="G10" s="28" t="n">
        <v>250.34</v>
      </c>
      <c r="H10" s="33" t="s">
        <v>46</v>
      </c>
    </row>
    <row r="11" customFormat="false" ht="15" hidden="false" customHeight="false" outlineLevel="0" collapsed="false">
      <c r="A11" s="29" t="n">
        <v>10</v>
      </c>
      <c r="B11" s="30" t="s">
        <v>13</v>
      </c>
      <c r="C11" s="8" t="n">
        <v>31.22</v>
      </c>
      <c r="D11" s="34" t="s">
        <v>47</v>
      </c>
      <c r="E11" s="8" t="n">
        <v>100</v>
      </c>
      <c r="F11" s="31" t="n">
        <v>330</v>
      </c>
      <c r="G11" s="32" t="n">
        <v>207.35</v>
      </c>
      <c r="H11" s="26" t="s">
        <v>45</v>
      </c>
    </row>
    <row r="12" customFormat="false" ht="15" hidden="false" customHeight="false" outlineLevel="0" collapsed="false">
      <c r="A12" s="24" t="n">
        <v>11</v>
      </c>
      <c r="B12" s="25" t="s">
        <v>19</v>
      </c>
      <c r="C12" s="4" t="n">
        <v>31.06</v>
      </c>
      <c r="D12" s="34" t="s">
        <v>47</v>
      </c>
      <c r="E12" s="4" t="n">
        <v>60.08</v>
      </c>
      <c r="F12" s="27" t="n">
        <v>774</v>
      </c>
      <c r="G12" s="28" t="n">
        <v>153.67</v>
      </c>
      <c r="H12" s="33" t="s">
        <v>46</v>
      </c>
    </row>
    <row r="13" customFormat="false" ht="15" hidden="false" customHeight="false" outlineLevel="0" collapsed="false">
      <c r="A13" s="29" t="n">
        <v>12</v>
      </c>
      <c r="B13" s="30" t="s">
        <v>18</v>
      </c>
      <c r="C13" s="8" t="n">
        <v>29.01</v>
      </c>
      <c r="D13" s="34" t="s">
        <v>47</v>
      </c>
      <c r="E13" s="8" t="n">
        <v>99.5</v>
      </c>
      <c r="F13" s="31" t="n">
        <v>202</v>
      </c>
      <c r="G13" s="32" t="n">
        <v>310.63</v>
      </c>
      <c r="H13" s="35" t="s">
        <v>48</v>
      </c>
    </row>
    <row r="14" customFormat="false" ht="15" hidden="false" customHeight="false" outlineLevel="0" collapsed="false">
      <c r="A14" s="24" t="n">
        <v>13</v>
      </c>
      <c r="B14" s="25" t="s">
        <v>27</v>
      </c>
      <c r="C14" s="4" t="n">
        <v>27.68</v>
      </c>
      <c r="D14" s="34" t="s">
        <v>47</v>
      </c>
      <c r="E14" s="4" t="n">
        <v>100</v>
      </c>
      <c r="F14" s="27" t="n">
        <v>183</v>
      </c>
      <c r="G14" s="28" t="n">
        <v>124.64</v>
      </c>
      <c r="H14" s="26" t="s">
        <v>45</v>
      </c>
    </row>
    <row r="15" customFormat="false" ht="15" hidden="false" customHeight="false" outlineLevel="0" collapsed="false">
      <c r="A15" s="29" t="n">
        <v>14</v>
      </c>
      <c r="B15" s="30" t="s">
        <v>11</v>
      </c>
      <c r="C15" s="8" t="n">
        <v>19.42</v>
      </c>
      <c r="D15" s="33" t="s">
        <v>49</v>
      </c>
      <c r="E15" s="8" t="n">
        <v>100</v>
      </c>
      <c r="F15" s="31" t="n">
        <v>10</v>
      </c>
      <c r="G15" s="32" t="n">
        <v>57.3</v>
      </c>
      <c r="H15" s="26" t="s">
        <v>45</v>
      </c>
    </row>
    <row r="16" customFormat="false" ht="15" hidden="false" customHeight="false" outlineLevel="0" collapsed="false">
      <c r="A16" s="24" t="n">
        <v>15</v>
      </c>
      <c r="B16" s="25" t="s">
        <v>15</v>
      </c>
      <c r="C16" s="4" t="n">
        <v>16.72</v>
      </c>
      <c r="D16" s="33" t="s">
        <v>49</v>
      </c>
      <c r="E16" s="4" t="n">
        <v>42.86</v>
      </c>
      <c r="F16" s="27" t="n">
        <v>7</v>
      </c>
      <c r="G16" s="28" t="n">
        <v>245.71</v>
      </c>
      <c r="H16" s="36" t="s">
        <v>50</v>
      </c>
    </row>
    <row r="17" customFormat="false" ht="15" hidden="false" customHeight="false" outlineLevel="0" collapsed="false">
      <c r="A17" s="29" t="n">
        <v>16</v>
      </c>
      <c r="B17" s="30" t="s">
        <v>28</v>
      </c>
      <c r="C17" s="8" t="n">
        <v>15.19</v>
      </c>
      <c r="D17" s="33" t="s">
        <v>49</v>
      </c>
      <c r="E17" s="8" t="n">
        <v>100</v>
      </c>
      <c r="F17" s="31" t="n">
        <v>204</v>
      </c>
      <c r="G17" s="32" t="n">
        <v>92.3</v>
      </c>
      <c r="H17" s="26" t="s">
        <v>45</v>
      </c>
    </row>
    <row r="18" customFormat="false" ht="15" hidden="false" customHeight="false" outlineLevel="0" collapsed="false">
      <c r="A18" s="24" t="n">
        <v>17</v>
      </c>
      <c r="B18" s="25" t="s">
        <v>30</v>
      </c>
      <c r="C18" s="4" t="n">
        <v>15.01</v>
      </c>
      <c r="D18" s="33" t="s">
        <v>49</v>
      </c>
      <c r="E18" s="4" t="n">
        <v>63.83</v>
      </c>
      <c r="F18" s="27" t="n">
        <v>976</v>
      </c>
      <c r="G18" s="28" t="n">
        <v>99.85</v>
      </c>
      <c r="H18" s="33" t="s">
        <v>46</v>
      </c>
    </row>
    <row r="19" customFormat="false" ht="15" hidden="false" customHeight="false" outlineLevel="0" collapsed="false">
      <c r="A19" s="29" t="n">
        <v>18</v>
      </c>
      <c r="B19" s="30" t="s">
        <v>10</v>
      </c>
      <c r="C19" s="8" t="n">
        <v>5.78</v>
      </c>
      <c r="D19" s="33" t="s">
        <v>49</v>
      </c>
      <c r="E19" s="8" t="n">
        <v>86.11</v>
      </c>
      <c r="F19" s="31" t="n">
        <v>576</v>
      </c>
      <c r="G19" s="32" t="n">
        <v>52.57</v>
      </c>
      <c r="H19" s="35" t="s">
        <v>48</v>
      </c>
    </row>
    <row r="20" customFormat="false" ht="15" hidden="false" customHeight="false" outlineLevel="0" collapsed="false">
      <c r="A20" s="24" t="n">
        <v>19</v>
      </c>
      <c r="B20" s="25" t="s">
        <v>17</v>
      </c>
      <c r="C20" s="4" t="n">
        <v>5.21</v>
      </c>
      <c r="D20" s="33" t="s">
        <v>49</v>
      </c>
      <c r="E20" s="4" t="n">
        <v>94.23</v>
      </c>
      <c r="F20" s="27" t="n">
        <v>208</v>
      </c>
      <c r="G20" s="28" t="n">
        <v>45.97</v>
      </c>
      <c r="H20" s="35" t="s">
        <v>48</v>
      </c>
    </row>
    <row r="21" customFormat="false" ht="15" hidden="false" customHeight="false" outlineLevel="0" collapsed="false">
      <c r="A21" s="29" t="n">
        <v>20</v>
      </c>
      <c r="B21" s="30" t="s">
        <v>9</v>
      </c>
      <c r="C21" s="8" t="n">
        <v>0.49</v>
      </c>
      <c r="D21" s="33" t="s">
        <v>49</v>
      </c>
      <c r="E21" s="8" t="n">
        <v>100</v>
      </c>
      <c r="F21" s="31" t="n">
        <v>8</v>
      </c>
      <c r="G21" s="32" t="n">
        <v>27.38</v>
      </c>
      <c r="H21" s="26" t="s">
        <v>45</v>
      </c>
    </row>
    <row r="22" customFormat="false" ht="15" hidden="false" customHeight="false" outlineLevel="0" collapsed="false">
      <c r="A22" s="24" t="n">
        <v>21</v>
      </c>
      <c r="B22" s="25" t="s">
        <v>22</v>
      </c>
      <c r="C22" s="4" t="n">
        <v>0.48</v>
      </c>
      <c r="D22" s="33" t="s">
        <v>49</v>
      </c>
      <c r="E22" s="4" t="n">
        <v>98.59</v>
      </c>
      <c r="F22" s="27" t="n">
        <v>496</v>
      </c>
      <c r="G22" s="28" t="n">
        <v>26.85</v>
      </c>
      <c r="H22" s="35" t="s">
        <v>48</v>
      </c>
    </row>
    <row r="23" customFormat="false" ht="15" hidden="false" customHeight="false" outlineLevel="0" collapsed="false">
      <c r="A23" s="29" t="n">
        <v>22</v>
      </c>
      <c r="B23" s="30" t="s">
        <v>20</v>
      </c>
      <c r="C23" s="8" t="n">
        <v>0.35</v>
      </c>
      <c r="D23" s="33" t="s">
        <v>49</v>
      </c>
      <c r="E23" s="8" t="n">
        <v>90</v>
      </c>
      <c r="F23" s="31" t="n">
        <v>10</v>
      </c>
      <c r="G23" s="32" t="n">
        <v>29.1</v>
      </c>
      <c r="H23" s="35" t="s">
        <v>48</v>
      </c>
    </row>
    <row r="24" customFormat="false" ht="15" hidden="false" customHeight="false" outlineLevel="0" collapsed="false">
      <c r="A24" s="24" t="n">
        <v>23</v>
      </c>
      <c r="B24" s="25" t="s">
        <v>31</v>
      </c>
      <c r="C24" s="4" t="n">
        <v>0.34</v>
      </c>
      <c r="D24" s="33" t="s">
        <v>49</v>
      </c>
      <c r="E24" s="4" t="n">
        <v>100</v>
      </c>
      <c r="F24" s="27" t="n">
        <v>7</v>
      </c>
      <c r="G24" s="28" t="n">
        <v>22.71</v>
      </c>
      <c r="H24" s="26" t="s">
        <v>45</v>
      </c>
    </row>
  </sheetData>
  <conditionalFormatting sqref="C2:C24">
    <cfRule type="colorScale" priority="2">
      <colorScale>
        <cfvo type="min" val="0"/>
        <cfvo type="percentile" val="50"/>
        <cfvo type="max" val="0"/>
        <color rgb="FFE8EBF2"/>
        <color rgb="FFFDF3DC"/>
        <color rgb="FFD04A0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9.5" hidden="false" customHeight="true" outlineLevel="0" collapsed="false">
      <c r="A1" s="37" t="s">
        <v>51</v>
      </c>
      <c r="B1" s="37" t="s">
        <v>52</v>
      </c>
      <c r="C1" s="37" t="s">
        <v>53</v>
      </c>
    </row>
    <row r="2" customFormat="false" ht="13.5" hidden="false" customHeight="true" outlineLevel="0" collapsed="false">
      <c r="A2" s="38" t="s">
        <v>1</v>
      </c>
      <c r="B2" s="39" t="s">
        <v>54</v>
      </c>
      <c r="C2" s="40" t="s">
        <v>55</v>
      </c>
    </row>
    <row r="3" customFormat="false" ht="13.5" hidden="false" customHeight="true" outlineLevel="0" collapsed="false">
      <c r="A3" s="41" t="s">
        <v>2</v>
      </c>
      <c r="B3" s="42" t="s">
        <v>56</v>
      </c>
      <c r="C3" s="43" t="s">
        <v>57</v>
      </c>
    </row>
    <row r="4" customFormat="false" ht="13.5" hidden="false" customHeight="true" outlineLevel="0" collapsed="false">
      <c r="A4" s="38" t="s">
        <v>3</v>
      </c>
      <c r="B4" s="39" t="s">
        <v>58</v>
      </c>
      <c r="C4" s="40"/>
    </row>
    <row r="5" customFormat="false" ht="13.5" hidden="false" customHeight="true" outlineLevel="0" collapsed="false">
      <c r="A5" s="41" t="s">
        <v>34</v>
      </c>
      <c r="B5" s="42" t="s">
        <v>59</v>
      </c>
      <c r="C5" s="43"/>
    </row>
    <row r="6" customFormat="false" ht="13.5" hidden="false" customHeight="true" outlineLevel="0" collapsed="false">
      <c r="A6" s="38" t="s">
        <v>60</v>
      </c>
      <c r="B6" s="39" t="s">
        <v>61</v>
      </c>
      <c r="C6" s="40" t="s">
        <v>62</v>
      </c>
    </row>
    <row r="7" customFormat="false" ht="13.5" hidden="false" customHeight="true" outlineLevel="0" collapsed="false">
      <c r="A7" s="41" t="s">
        <v>37</v>
      </c>
      <c r="B7" s="42" t="s">
        <v>63</v>
      </c>
      <c r="C7" s="43" t="s">
        <v>64</v>
      </c>
    </row>
    <row r="8" customFormat="false" ht="39.75" hidden="false" customHeight="true" outlineLevel="0" collapsed="false">
      <c r="A8" s="38" t="s">
        <v>65</v>
      </c>
      <c r="B8" s="39" t="s">
        <v>66</v>
      </c>
      <c r="C8" s="40" t="s">
        <v>67</v>
      </c>
    </row>
    <row r="9" customFormat="false" ht="78.75" hidden="false" customHeight="true" outlineLevel="0" collapsed="false">
      <c r="A9" s="41" t="s">
        <v>68</v>
      </c>
      <c r="B9" s="42" t="s">
        <v>69</v>
      </c>
      <c r="C9" s="43" t="s">
        <v>70</v>
      </c>
    </row>
    <row r="10" customFormat="false" ht="13.5" hidden="false" customHeight="true" outlineLevel="0" collapsed="false">
      <c r="A10" s="38" t="s">
        <v>71</v>
      </c>
      <c r="B10" s="39" t="s">
        <v>72</v>
      </c>
      <c r="C10" s="40"/>
    </row>
    <row r="11" customFormat="false" ht="13.5" hidden="false" customHeight="true" outlineLevel="0" collapsed="false">
      <c r="A11" s="41" t="s">
        <v>73</v>
      </c>
      <c r="B11" s="42" t="s">
        <v>74</v>
      </c>
      <c r="C11" s="43"/>
    </row>
    <row r="12" customFormat="false" ht="39.75" hidden="false" customHeight="true" outlineLevel="0" collapsed="false">
      <c r="A12" s="38" t="s">
        <v>75</v>
      </c>
      <c r="B12" s="39" t="s">
        <v>76</v>
      </c>
      <c r="C12" s="40" t="s">
        <v>77</v>
      </c>
    </row>
    <row r="13" customFormat="false" ht="66" hidden="false" customHeight="true" outlineLevel="0" collapsed="false">
      <c r="A13" s="41" t="s">
        <v>78</v>
      </c>
      <c r="B13" s="42" t="s">
        <v>79</v>
      </c>
      <c r="C13" s="43" t="s">
        <v>80</v>
      </c>
    </row>
    <row r="14" customFormat="false" ht="66" hidden="false" customHeight="true" outlineLevel="0" collapsed="false">
      <c r="A14" s="38" t="s">
        <v>81</v>
      </c>
      <c r="B14" s="39" t="s">
        <v>82</v>
      </c>
      <c r="C14" s="40" t="s">
        <v>83</v>
      </c>
    </row>
    <row r="15" customFormat="false" ht="52.5" hidden="false" customHeight="true" outlineLevel="0" collapsed="false">
      <c r="A15" s="41" t="s">
        <v>84</v>
      </c>
      <c r="B15" s="42" t="s">
        <v>85</v>
      </c>
      <c r="C15" s="4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9.5" hidden="false" customHeight="true" outlineLevel="0" collapsed="false">
      <c r="A1" s="44" t="s">
        <v>87</v>
      </c>
      <c r="B1" s="44" t="s">
        <v>88</v>
      </c>
    </row>
    <row r="2" customFormat="false" ht="42" hidden="false" customHeight="true" outlineLevel="0" collapsed="false">
      <c r="A2" s="45" t="s">
        <v>89</v>
      </c>
      <c r="B2" s="46" t="s">
        <v>90</v>
      </c>
    </row>
    <row r="3" customFormat="false" ht="15.75" hidden="false" customHeight="true" outlineLevel="0" collapsed="false">
      <c r="A3" s="47" t="s">
        <v>91</v>
      </c>
      <c r="B3" s="48" t="s">
        <v>92</v>
      </c>
    </row>
    <row r="4" customFormat="false" ht="145.5" hidden="false" customHeight="true" outlineLevel="0" collapsed="false">
      <c r="A4" s="45" t="s">
        <v>93</v>
      </c>
      <c r="B4" s="46" t="s">
        <v>94</v>
      </c>
    </row>
    <row r="5" customFormat="false" ht="106.5" hidden="false" customHeight="true" outlineLevel="0" collapsed="false">
      <c r="A5" s="47" t="s">
        <v>95</v>
      </c>
      <c r="B5" s="48" t="s">
        <v>96</v>
      </c>
    </row>
    <row r="6" customFormat="false" ht="54.75" hidden="false" customHeight="true" outlineLevel="0" collapsed="false">
      <c r="A6" s="45" t="s">
        <v>97</v>
      </c>
      <c r="B6" s="46" t="s">
        <v>98</v>
      </c>
    </row>
    <row r="7" customFormat="false" ht="67.5" hidden="false" customHeight="true" outlineLevel="0" collapsed="false">
      <c r="A7" s="47" t="s">
        <v>99</v>
      </c>
      <c r="B7" s="48" t="s">
        <v>100</v>
      </c>
    </row>
    <row r="8" customFormat="false" ht="42" hidden="false" customHeight="true" outlineLevel="0" collapsed="false">
      <c r="A8" s="45" t="s">
        <v>101</v>
      </c>
      <c r="B8" s="4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9.5" hidden="false" customHeight="true" outlineLevel="0" collapsed="false">
      <c r="A1" s="37" t="s">
        <v>103</v>
      </c>
      <c r="B1" s="37" t="s">
        <v>104</v>
      </c>
      <c r="C1" s="37" t="s">
        <v>105</v>
      </c>
      <c r="D1" s="37" t="s">
        <v>53</v>
      </c>
    </row>
    <row r="2" customFormat="false" ht="15.75" hidden="false" customHeight="true" outlineLevel="0" collapsed="false">
      <c r="A2" s="38" t="s">
        <v>106</v>
      </c>
      <c r="B2" s="38" t="s">
        <v>107</v>
      </c>
      <c r="C2" s="38" t="s">
        <v>108</v>
      </c>
      <c r="D2" s="38" t="s">
        <v>109</v>
      </c>
    </row>
    <row r="3" customFormat="false" ht="15.75" hidden="false" customHeight="true" outlineLevel="0" collapsed="false">
      <c r="A3" s="41" t="s">
        <v>110</v>
      </c>
      <c r="B3" s="41" t="s">
        <v>107</v>
      </c>
      <c r="C3" s="41" t="s">
        <v>111</v>
      </c>
      <c r="D3" s="41" t="s">
        <v>112</v>
      </c>
    </row>
    <row r="4" customFormat="false" ht="15.75" hidden="false" customHeight="true" outlineLevel="0" collapsed="false">
      <c r="A4" s="38" t="s">
        <v>113</v>
      </c>
      <c r="B4" s="38" t="s">
        <v>107</v>
      </c>
      <c r="C4" s="38" t="s">
        <v>114</v>
      </c>
      <c r="D4" s="38" t="s">
        <v>115</v>
      </c>
    </row>
    <row r="5" customFormat="false" ht="15.75" hidden="false" customHeight="true" outlineLevel="0" collapsed="false">
      <c r="A5" s="41" t="s">
        <v>116</v>
      </c>
      <c r="B5" s="41" t="s">
        <v>107</v>
      </c>
      <c r="C5" s="41" t="s">
        <v>117</v>
      </c>
      <c r="D5" s="41" t="s">
        <v>118</v>
      </c>
    </row>
    <row r="6" customFormat="false" ht="15.75" hidden="false" customHeight="true" outlineLevel="0" collapsed="false">
      <c r="A6" s="38" t="s">
        <v>119</v>
      </c>
      <c r="B6" s="38" t="s">
        <v>107</v>
      </c>
      <c r="C6" s="38" t="s">
        <v>120</v>
      </c>
      <c r="D6" s="38" t="s">
        <v>115</v>
      </c>
    </row>
    <row r="7" customFormat="false" ht="15.75" hidden="false" customHeight="true" outlineLevel="0" collapsed="false">
      <c r="A7" s="41" t="s">
        <v>121</v>
      </c>
      <c r="B7" s="41" t="s">
        <v>122</v>
      </c>
      <c r="C7" s="41" t="s">
        <v>123</v>
      </c>
      <c r="D7" s="41" t="s">
        <v>124</v>
      </c>
    </row>
    <row r="8" customFormat="false" ht="15.75" hidden="false" customHeight="true" outlineLevel="0" collapsed="false">
      <c r="A8" s="38" t="s">
        <v>125</v>
      </c>
      <c r="B8" s="38" t="s">
        <v>126</v>
      </c>
      <c r="C8" s="38" t="s">
        <v>127</v>
      </c>
      <c r="D8" s="38" t="s">
        <v>128</v>
      </c>
    </row>
    <row r="9" customFormat="false" ht="28.5" hidden="false" customHeight="true" outlineLevel="0" collapsed="false">
      <c r="A9" s="41" t="s">
        <v>129</v>
      </c>
      <c r="B9" s="41" t="s">
        <v>130</v>
      </c>
      <c r="C9" s="41" t="s">
        <v>131</v>
      </c>
      <c r="D9" s="41" t="s">
        <v>132</v>
      </c>
    </row>
    <row r="10" customFormat="false" ht="28.5" hidden="false" customHeight="true" outlineLevel="0" collapsed="false">
      <c r="A10" s="38" t="s">
        <v>133</v>
      </c>
      <c r="B10" s="38" t="s">
        <v>134</v>
      </c>
      <c r="C10" s="38" t="s">
        <v>135</v>
      </c>
      <c r="D10" s="38" t="s">
        <v>136</v>
      </c>
    </row>
    <row r="11" customFormat="false" ht="28.5" hidden="false" customHeight="true" outlineLevel="0" collapsed="false">
      <c r="A11" s="41" t="s">
        <v>137</v>
      </c>
      <c r="B11" s="41" t="s">
        <v>122</v>
      </c>
      <c r="C11" s="41" t="s">
        <v>138</v>
      </c>
      <c r="D11" s="41" t="s">
        <v>139</v>
      </c>
    </row>
    <row r="12" customFormat="false" ht="28.5" hidden="false" customHeight="true" outlineLevel="0" collapsed="false">
      <c r="A12" s="38" t="s">
        <v>140</v>
      </c>
      <c r="B12" s="38" t="s">
        <v>141</v>
      </c>
      <c r="C12" s="38" t="s">
        <v>142</v>
      </c>
      <c r="D12" s="38" t="s">
        <v>143</v>
      </c>
    </row>
    <row r="13" customFormat="false" ht="15.75" hidden="false" customHeight="true" outlineLevel="0" collapsed="false">
      <c r="A13" s="41" t="s">
        <v>144</v>
      </c>
      <c r="B13" s="41" t="s">
        <v>145</v>
      </c>
      <c r="C13" s="41" t="s">
        <v>146</v>
      </c>
      <c r="D13" s="41" t="s">
        <v>147</v>
      </c>
    </row>
    <row r="14" customFormat="false" ht="15.75" hidden="false" customHeight="true" outlineLevel="0" collapsed="false">
      <c r="A14" s="38" t="s">
        <v>148</v>
      </c>
      <c r="B14" s="38" t="s">
        <v>145</v>
      </c>
      <c r="C14" s="38" t="s">
        <v>149</v>
      </c>
      <c r="D14" s="38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2026-06-12T09:32:26Z</dcterms:created>
  <dc:creator>openpyxl</dc:creator>
  <dc:description/>
  <dc:language>en-US</dc:language>
  <cp:lastModifiedBy/>
  <dcterms:modified xsi:type="dcterms:W3CDTF">2026-06-12T09:32:27Z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